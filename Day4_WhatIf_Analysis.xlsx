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1792ed99f55154/Documents/"/>
    </mc:Choice>
  </mc:AlternateContent>
  <xr:revisionPtr revIDLastSave="1" documentId="14_{7B87EF49-80BB-4F1E-BEEC-8BC333CC1938}" xr6:coauthVersionLast="47" xr6:coauthVersionMax="47" xr10:uidLastSave="{C2A9C474-E19A-4B23-B3E7-096CF36EE098}"/>
  <bookViews>
    <workbookView xWindow="-120" yWindow="-120" windowWidth="20730" windowHeight="11160" activeTab="2" xr2:uid="{9BA0AC82-335E-48C8-BB48-23446EE89F7A}"/>
  </bookViews>
  <sheets>
    <sheet name="Scenario Summary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B13" i="1"/>
  <c r="B7" i="1"/>
  <c r="E3" i="1" s="1"/>
  <c r="C9" i="3"/>
  <c r="C8" i="3"/>
  <c r="D8" i="3"/>
  <c r="D9" i="3"/>
  <c r="E8" i="3"/>
  <c r="E9" i="3"/>
</calcChain>
</file>

<file path=xl/sharedStrings.xml><?xml version="1.0" encoding="utf-8"?>
<sst xmlns="http://schemas.openxmlformats.org/spreadsheetml/2006/main" count="48" uniqueCount="45">
  <si>
    <t>B3</t>
  </si>
  <si>
    <t>A4</t>
  </si>
  <si>
    <t>B4</t>
  </si>
  <si>
    <t>A5</t>
  </si>
  <si>
    <t>B5</t>
  </si>
  <si>
    <t>Coffee Shop Revenue Model</t>
  </si>
  <si>
    <t>Price per Customer</t>
  </si>
  <si>
    <t>Number of Customers</t>
  </si>
  <si>
    <t>total revenue</t>
  </si>
  <si>
    <t>A6</t>
  </si>
  <si>
    <t>B6</t>
  </si>
  <si>
    <t>Target Revenue</t>
  </si>
  <si>
    <t>price</t>
  </si>
  <si>
    <t>revenue</t>
  </si>
  <si>
    <t>$B$3</t>
  </si>
  <si>
    <t>$B$5</t>
  </si>
  <si>
    <t>$E$4</t>
  </si>
  <si>
    <t>$E$5</t>
  </si>
  <si>
    <t>$E$6</t>
  </si>
  <si>
    <t>$E$7</t>
  </si>
  <si>
    <t>$E$8</t>
  </si>
  <si>
    <t>low sales</t>
  </si>
  <si>
    <t>Created by Mohammed Aftab on 21-10-2026</t>
  </si>
  <si>
    <t>normal sales</t>
  </si>
  <si>
    <t>Created by zunaira on 21-10-2026</t>
  </si>
  <si>
    <t>high sales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</si>
  <si>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</si>
  <si>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</si>
  <si>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</si>
  <si>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</si>
  <si>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</si>
  <si>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</si>
  <si>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</si>
  <si>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month</t>
  </si>
  <si>
    <t>Forecast(revenue)</t>
  </si>
  <si>
    <t>Lower Confidence Bound(revenue)</t>
  </si>
  <si>
    <t>Upper Confidence Bound(revenue)</t>
  </si>
  <si>
    <t>Revenue planning what-if-analysis</t>
  </si>
  <si>
    <t>Objective: Analyse how price and customer footfall affect revenue.</t>
  </si>
  <si>
    <t>project findings</t>
  </si>
  <si>
    <t>target revenue</t>
  </si>
  <si>
    <t>price needed</t>
  </si>
  <si>
    <t>expected customers</t>
  </si>
  <si>
    <t>CONCLUSION</t>
  </si>
  <si>
    <t>Revenue increases when price or customer footfall increases. Goal Seek helps find the price needed to reach a target, while Scenario Manager compares different sales situations.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</si>
</sst>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0" borderId="0" xfId="0" applyNumberForma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  <xf numFmtId="14" fontId="0" fillId="0" borderId="0" xfId="0" applyNumberFormat="1"/>
    <xf numFmtId="0" fontId="6" fillId="0" borderId="0" xfId="0" applyFont="1"/>
    <xf numFmtId="0" fontId="0" fillId="0" borderId="0" xfId="0" applyFont="1"/>
    <xf numFmtId="0" fontId="6" fillId="0" borderId="5" xfId="0" applyFont="1" applyBorder="1" applyAlignment="1">
      <alignment wrapText="1"/>
    </xf>
    <xf numFmtId="0" fontId="0" fillId="0" borderId="5" xfId="0" applyBorder="1"/>
    <xf numFmtId="0" fontId="0" fillId="0" borderId="5" xfId="0" applyNumberFormat="1" applyBorder="1" applyAlignment="1">
      <alignment horizontal="left"/>
    </xf>
    <xf numFmtId="14" fontId="0" fillId="0" borderId="5" xfId="0" applyNumberFormat="1" applyBorder="1"/>
    <xf numFmtId="14" fontId="0" fillId="0" borderId="5" xfId="0" applyNumberFormat="1" applyFont="1" applyBorder="1"/>
    <xf numFmtId="0" fontId="0" fillId="0" borderId="5" xfId="0" applyFont="1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72284442705531"/>
          <c:y val="5.1948051948051951E-2"/>
          <c:w val="0.84738362323834315"/>
          <c:h val="0.68637011282680571"/>
        </c:manualLayout>
      </c:layout>
      <c:lineChart>
        <c:grouping val="standar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Sheet3!$B$2:$B$9</c:f>
              <c:numCache>
                <c:formatCode>General</c:formatCode>
                <c:ptCount val="8"/>
                <c:pt idx="0">
                  <c:v>5000</c:v>
                </c:pt>
                <c:pt idx="1">
                  <c:v>6000</c:v>
                </c:pt>
                <c:pt idx="2">
                  <c:v>5500</c:v>
                </c:pt>
                <c:pt idx="3">
                  <c:v>7000</c:v>
                </c:pt>
                <c:pt idx="4">
                  <c:v>7500</c:v>
                </c:pt>
                <c:pt idx="5">
                  <c:v>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0E-441E-8B36-39C9D2DA057E}"/>
            </c:ext>
          </c:extLst>
        </c:ser>
        <c:ser>
          <c:idx val="1"/>
          <c:order val="1"/>
          <c:tx>
            <c:strRef>
              <c:f>Sheet3!$C$1</c:f>
              <c:strCache>
                <c:ptCount val="1"/>
                <c:pt idx="0">
                  <c:v>Forecast(revenue)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Sheet3!$C$2:$C$9</c:f>
              <c:numCache>
                <c:formatCode>General</c:formatCode>
                <c:ptCount val="8"/>
                <c:pt idx="5">
                  <c:v>8000</c:v>
                </c:pt>
                <c:pt idx="6">
                  <c:v>8599.9961412839966</c:v>
                </c:pt>
                <c:pt idx="7">
                  <c:v>9199.9956515489303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0E-441E-8B36-39C9D2DA057E}"/>
            </c:ext>
          </c:extLst>
        </c:ser>
        <c:ser>
          <c:idx val="2"/>
          <c:order val="2"/>
          <c:tx>
            <c:strRef>
              <c:f>Sheet3!$D$1</c:f>
              <c:strCache>
                <c:ptCount val="1"/>
                <c:pt idx="0">
                  <c:v>Lower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Sheet3!$D$2:$D$9</c:f>
              <c:numCache>
                <c:formatCode>General</c:formatCode>
                <c:ptCount val="8"/>
                <c:pt idx="5" formatCode="0.00">
                  <c:v>8000</c:v>
                </c:pt>
                <c:pt idx="6" formatCode="0.00">
                  <c:v>7929.6216813824358</c:v>
                </c:pt>
                <c:pt idx="7" formatCode="0.00">
                  <c:v>8529.6181749690877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0E-441E-8B36-39C9D2DA057E}"/>
            </c:ext>
          </c:extLst>
        </c:ser>
        <c:ser>
          <c:idx val="3"/>
          <c:order val="3"/>
          <c:tx>
            <c:strRef>
              <c:f>Sheet3!$E$1</c:f>
              <c:strCache>
                <c:ptCount val="1"/>
                <c:pt idx="0">
                  <c:v>Upper Confidence Bound(revenue)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Sheet3!$A$2:$A$9</c:f>
              <c:numCache>
                <c:formatCode>m/d/yyyy</c:formatCode>
                <c:ptCount val="8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</c:numCache>
            </c:numRef>
          </c:cat>
          <c:val>
            <c:numRef>
              <c:f>Sheet3!$E$2:$E$9</c:f>
              <c:numCache>
                <c:formatCode>General</c:formatCode>
                <c:ptCount val="8"/>
                <c:pt idx="5" formatCode="0.00">
                  <c:v>8000</c:v>
                </c:pt>
                <c:pt idx="6" formatCode="0.00">
                  <c:v>9270.3706011855575</c:v>
                </c:pt>
                <c:pt idx="7" formatCode="0.00">
                  <c:v>9870.3731281287728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0E-441E-8B36-39C9D2DA0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352"/>
        <c:axId val="108975520"/>
      </c:lineChart>
      <c:catAx>
        <c:axId val="10897635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5520"/>
        <c:crosses val="autoZero"/>
        <c:auto val="1"/>
        <c:lblAlgn val="ctr"/>
        <c:lblOffset val="100"/>
        <c:noMultiLvlLbl val="0"/>
      </c:catAx>
      <c:valAx>
        <c:axId val="1089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09094534561273"/>
          <c:y val="0.83008555748713242"/>
          <c:w val="0.71439525889652489"/>
          <c:h val="0.139611412209837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13</xdr:col>
      <xdr:colOff>552450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1955FC-160E-40C1-B9FA-1EFAF885B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4E5D1-40D2-41C1-BE6D-62AD94840EC8}" name="Table1" displayName="Table1" ref="A1:E9" totalsRowShown="0">
  <autoFilter ref="A1:E9" xr:uid="{3884E5D1-40D2-41C1-BE6D-62AD94840EC8}"/>
  <tableColumns count="5">
    <tableColumn id="1" xr3:uid="{B0ABFCCB-2711-4CCC-82C8-407AEF35A0CA}" name="month" dataDxfId="2"/>
    <tableColumn id="2" xr3:uid="{0A430247-354B-49C5-AF7D-0A0794759053}" name="revenue"/>
    <tableColumn id="3" xr3:uid="{28B940BA-1340-48B0-A3A3-14FBBD7C41AE}" name="Forecast(revenue)"/>
    <tableColumn id="4" xr3:uid="{9E160327-5765-4FB3-A9D8-97B375D4ACBB}" name="Lower Confidence Bound(revenue)" dataDxfId="1"/>
    <tableColumn id="5" xr3:uid="{91AC6DBC-733A-4BEA-AB1A-A3B8C593C05F}" name="Upper Confidence Bound(revenu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D5CC-D9B3-4977-B704-CB1FD2BA0A2F}">
  <sheetPr>
    <outlinePr summaryBelow="0"/>
  </sheetPr>
  <dimension ref="B1:G16"/>
  <sheetViews>
    <sheetView showGridLines="0" topLeftCell="A2" workbookViewId="0"/>
  </sheetViews>
  <sheetFormatPr defaultRowHeight="15" outlineLevelRow="1" outlineLevelCol="1" x14ac:dyDescent="0.25"/>
  <cols>
    <col min="3" max="3" width="5.140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5" t="s">
        <v>26</v>
      </c>
      <c r="C2" s="5"/>
      <c r="D2" s="10"/>
      <c r="E2" s="10"/>
      <c r="F2" s="10"/>
      <c r="G2" s="10"/>
    </row>
    <row r="3" spans="2:7" ht="15.75" collapsed="1" x14ac:dyDescent="0.25">
      <c r="B3" s="4"/>
      <c r="C3" s="4"/>
      <c r="D3" s="11" t="s">
        <v>28</v>
      </c>
      <c r="E3" s="11" t="s">
        <v>21</v>
      </c>
      <c r="F3" s="11" t="s">
        <v>23</v>
      </c>
      <c r="G3" s="11" t="s">
        <v>25</v>
      </c>
    </row>
    <row r="4" spans="2:7" ht="33.75" hidden="1" outlineLevel="1" x14ac:dyDescent="0.25">
      <c r="B4" s="7"/>
      <c r="C4" s="7"/>
      <c r="D4" s="2"/>
      <c r="E4" s="13" t="s">
        <v>22</v>
      </c>
      <c r="F4" s="13" t="s">
        <v>24</v>
      </c>
      <c r="G4" s="13" t="s">
        <v>24</v>
      </c>
    </row>
    <row r="5" spans="2:7" x14ac:dyDescent="0.25">
      <c r="B5" s="8" t="s">
        <v>27</v>
      </c>
      <c r="C5" s="8"/>
      <c r="D5" s="6"/>
      <c r="E5" s="6"/>
      <c r="F5" s="6"/>
      <c r="G5" s="6"/>
    </row>
    <row r="6" spans="2:7" outlineLevel="1" x14ac:dyDescent="0.25">
      <c r="B6" s="7"/>
      <c r="C6" s="7" t="s">
        <v>14</v>
      </c>
      <c r="D6" s="2">
        <v>200</v>
      </c>
      <c r="E6" s="12">
        <v>80</v>
      </c>
      <c r="F6" s="12">
        <v>100</v>
      </c>
      <c r="G6" s="12">
        <v>150</v>
      </c>
    </row>
    <row r="7" spans="2:7" outlineLevel="1" x14ac:dyDescent="0.25">
      <c r="B7" s="7"/>
      <c r="C7" s="7" t="s">
        <v>15</v>
      </c>
      <c r="D7" s="2">
        <v>50</v>
      </c>
      <c r="E7" s="12">
        <v>30</v>
      </c>
      <c r="F7" s="12">
        <v>50</v>
      </c>
      <c r="G7" s="12">
        <v>80</v>
      </c>
    </row>
    <row r="8" spans="2:7" x14ac:dyDescent="0.25">
      <c r="B8" s="8" t="s">
        <v>29</v>
      </c>
      <c r="C8" s="8"/>
      <c r="D8" s="6"/>
      <c r="E8" s="6"/>
      <c r="F8" s="6"/>
      <c r="G8" s="6"/>
    </row>
    <row r="9" spans="2:7" outlineLevel="1" x14ac:dyDescent="0.25">
      <c r="B9" s="7"/>
      <c r="C9" s="7" t="s">
        <v>16</v>
      </c>
      <c r="D9" s="2">
        <v>4000</v>
      </c>
      <c r="E9" s="2">
        <v>2400</v>
      </c>
      <c r="F9" s="2">
        <v>4000</v>
      </c>
      <c r="G9" s="2">
        <v>6400</v>
      </c>
    </row>
    <row r="10" spans="2:7" outlineLevel="1" x14ac:dyDescent="0.25">
      <c r="B10" s="7"/>
      <c r="C10" s="7" t="s">
        <v>17</v>
      </c>
      <c r="D10" s="2">
        <v>5000</v>
      </c>
      <c r="E10" s="2">
        <v>3000</v>
      </c>
      <c r="F10" s="2">
        <v>5000</v>
      </c>
      <c r="G10" s="2">
        <v>8000</v>
      </c>
    </row>
    <row r="11" spans="2:7" outlineLevel="1" x14ac:dyDescent="0.25">
      <c r="B11" s="7"/>
      <c r="C11" s="7" t="s">
        <v>18</v>
      </c>
      <c r="D11" s="2">
        <v>7500</v>
      </c>
      <c r="E11" s="2">
        <v>4500</v>
      </c>
      <c r="F11" s="2">
        <v>7500</v>
      </c>
      <c r="G11" s="2">
        <v>12000</v>
      </c>
    </row>
    <row r="12" spans="2:7" outlineLevel="1" x14ac:dyDescent="0.25">
      <c r="B12" s="7"/>
      <c r="C12" s="7" t="s">
        <v>19</v>
      </c>
      <c r="D12" s="2">
        <v>10000</v>
      </c>
      <c r="E12" s="2">
        <v>6000</v>
      </c>
      <c r="F12" s="2">
        <v>10000</v>
      </c>
      <c r="G12" s="2">
        <v>16000</v>
      </c>
    </row>
    <row r="13" spans="2:7" ht="15.75" outlineLevel="1" thickBot="1" x14ac:dyDescent="0.3">
      <c r="B13" s="9"/>
      <c r="C13" s="9" t="s">
        <v>20</v>
      </c>
      <c r="D13" s="3">
        <v>12500</v>
      </c>
      <c r="E13" s="3">
        <v>7500</v>
      </c>
      <c r="F13" s="3">
        <v>12500</v>
      </c>
      <c r="G13" s="3">
        <v>20000</v>
      </c>
    </row>
    <row r="14" spans="2:7" x14ac:dyDescent="0.25">
      <c r="B14" t="s">
        <v>30</v>
      </c>
    </row>
    <row r="15" spans="2:7" x14ac:dyDescent="0.25">
      <c r="B15" t="s">
        <v>31</v>
      </c>
    </row>
    <row r="16" spans="2:7" x14ac:dyDescent="0.25">
      <c r="B16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665C-3990-419A-B905-584F417F3B8A}">
  <dimension ref="A1:E9"/>
  <sheetViews>
    <sheetView workbookViewId="0">
      <selection activeCell="H22" sqref="H22"/>
    </sheetView>
  </sheetViews>
  <sheetFormatPr defaultRowHeight="15" x14ac:dyDescent="0.25"/>
  <cols>
    <col min="1" max="1" width="10.42578125" bestFit="1" customWidth="1"/>
    <col min="2" max="2" width="10.5703125" customWidth="1"/>
    <col min="3" max="3" width="19.42578125" customWidth="1"/>
    <col min="4" max="4" width="34.140625" customWidth="1"/>
    <col min="5" max="5" width="34.28515625" customWidth="1"/>
  </cols>
  <sheetData>
    <row r="1" spans="1:5" x14ac:dyDescent="0.25">
      <c r="A1" t="s">
        <v>33</v>
      </c>
      <c r="B1" t="s">
        <v>13</v>
      </c>
      <c r="C1" t="s">
        <v>34</v>
      </c>
      <c r="D1" t="s">
        <v>35</v>
      </c>
      <c r="E1" t="s">
        <v>36</v>
      </c>
    </row>
    <row r="2" spans="1:5" x14ac:dyDescent="0.25">
      <c r="A2" s="14">
        <v>46023</v>
      </c>
      <c r="B2">
        <v>5000</v>
      </c>
    </row>
    <row r="3" spans="1:5" x14ac:dyDescent="0.25">
      <c r="A3" s="14">
        <v>46024</v>
      </c>
      <c r="B3">
        <v>6000</v>
      </c>
    </row>
    <row r="4" spans="1:5" x14ac:dyDescent="0.25">
      <c r="A4" s="14">
        <v>46025</v>
      </c>
      <c r="B4">
        <v>5500</v>
      </c>
    </row>
    <row r="5" spans="1:5" x14ac:dyDescent="0.25">
      <c r="A5" s="14">
        <v>46026</v>
      </c>
      <c r="B5">
        <v>7000</v>
      </c>
    </row>
    <row r="6" spans="1:5" x14ac:dyDescent="0.25">
      <c r="A6" s="14">
        <v>46027</v>
      </c>
      <c r="B6">
        <v>7500</v>
      </c>
    </row>
    <row r="7" spans="1:5" x14ac:dyDescent="0.25">
      <c r="A7" s="14">
        <v>46028</v>
      </c>
      <c r="B7">
        <v>8000</v>
      </c>
      <c r="C7">
        <v>8000</v>
      </c>
      <c r="D7" s="1">
        <v>8000</v>
      </c>
      <c r="E7" s="1">
        <v>8000</v>
      </c>
    </row>
    <row r="8" spans="1:5" x14ac:dyDescent="0.25">
      <c r="A8" s="14">
        <v>46029</v>
      </c>
      <c r="C8">
        <f>_xlfn.FORECAST.ETS(A8,$B$2:$B$7,$A$2:$A$7,1,1)</f>
        <v>8599.9961412839966</v>
      </c>
      <c r="D8" s="1">
        <f>C8-_xlfn.FORECAST.ETS.CONFINT(A8,$B$2:$B$7,$A$2:$A$7,0.95,1,1)</f>
        <v>7929.6216813824358</v>
      </c>
      <c r="E8" s="1">
        <f>C8+_xlfn.FORECAST.ETS.CONFINT(A8,$B$2:$B$7,$A$2:$A$7,0.95,1,1)</f>
        <v>9270.3706011855575</v>
      </c>
    </row>
    <row r="9" spans="1:5" x14ac:dyDescent="0.25">
      <c r="A9" s="14">
        <v>46030</v>
      </c>
      <c r="C9">
        <f>_xlfn.FORECAST.ETS(A9,$B$2:$B$7,$A$2:$A$7,1,1)</f>
        <v>9199.9956515489303</v>
      </c>
      <c r="D9" s="1">
        <f>C9-_xlfn.FORECAST.ETS.CONFINT(A9,$B$2:$B$7,$A$2:$A$7,0.95,1,1)</f>
        <v>8529.6181749690877</v>
      </c>
      <c r="E9" s="1">
        <f>C9+_xlfn.FORECAST.ETS.CONFINT(A9,$B$2:$B$7,$A$2:$A$7,0.95,1,1)</f>
        <v>9870.3731281287728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61B8-7DDD-409A-BA3B-B08BC062DE89}">
  <dimension ref="A1:E26"/>
  <sheetViews>
    <sheetView tabSelected="1" topLeftCell="A5" workbookViewId="0">
      <selection activeCell="B19" sqref="B19"/>
    </sheetView>
  </sheetViews>
  <sheetFormatPr defaultRowHeight="15" x14ac:dyDescent="0.25"/>
  <cols>
    <col min="1" max="1" width="22.42578125" customWidth="1"/>
    <col min="2" max="2" width="26.85546875" customWidth="1"/>
    <col min="3" max="3" width="23.7109375" customWidth="1"/>
    <col min="4" max="4" width="18.7109375" customWidth="1"/>
    <col min="5" max="5" width="18.28515625" customWidth="1"/>
  </cols>
  <sheetData>
    <row r="1" spans="1:5" ht="30" x14ac:dyDescent="0.25">
      <c r="A1" s="17" t="s">
        <v>37</v>
      </c>
      <c r="B1" s="18" t="s">
        <v>5</v>
      </c>
    </row>
    <row r="2" spans="1:5" ht="45" x14ac:dyDescent="0.25">
      <c r="A2" s="17" t="s">
        <v>38</v>
      </c>
      <c r="B2" s="18" t="s">
        <v>6</v>
      </c>
    </row>
    <row r="3" spans="1:5" x14ac:dyDescent="0.25">
      <c r="A3" s="18" t="s">
        <v>0</v>
      </c>
      <c r="B3" s="19">
        <v>200</v>
      </c>
      <c r="D3" s="18" t="s">
        <v>12</v>
      </c>
      <c r="E3" s="18">
        <f>B7</f>
        <v>10000</v>
      </c>
    </row>
    <row r="4" spans="1:5" x14ac:dyDescent="0.25">
      <c r="A4" s="18" t="s">
        <v>1</v>
      </c>
      <c r="B4" s="18" t="s">
        <v>7</v>
      </c>
      <c r="D4" s="18">
        <v>80</v>
      </c>
      <c r="E4" s="18">
        <f t="dataTable" ref="E4:E8" dt2D="0" dtr="0" r1="B3"/>
        <v>4000</v>
      </c>
    </row>
    <row r="5" spans="1:5" x14ac:dyDescent="0.25">
      <c r="A5" s="18" t="s">
        <v>2</v>
      </c>
      <c r="B5" s="19">
        <v>50</v>
      </c>
      <c r="D5" s="18">
        <v>100</v>
      </c>
      <c r="E5" s="18">
        <v>5000</v>
      </c>
    </row>
    <row r="6" spans="1:5" x14ac:dyDescent="0.25">
      <c r="A6" s="18" t="s">
        <v>3</v>
      </c>
      <c r="B6" s="18" t="s">
        <v>8</v>
      </c>
      <c r="D6" s="18">
        <v>150</v>
      </c>
      <c r="E6" s="18">
        <v>7500</v>
      </c>
    </row>
    <row r="7" spans="1:5" x14ac:dyDescent="0.25">
      <c r="A7" s="18" t="s">
        <v>4</v>
      </c>
      <c r="B7" s="19">
        <f>B3*B5</f>
        <v>10000</v>
      </c>
      <c r="D7" s="18">
        <v>200</v>
      </c>
      <c r="E7" s="18">
        <v>10000</v>
      </c>
    </row>
    <row r="8" spans="1:5" x14ac:dyDescent="0.25">
      <c r="A8" s="18" t="s">
        <v>9</v>
      </c>
      <c r="B8" s="18" t="s">
        <v>11</v>
      </c>
      <c r="D8" s="18">
        <v>250</v>
      </c>
      <c r="E8" s="18">
        <v>12500</v>
      </c>
    </row>
    <row r="9" spans="1:5" x14ac:dyDescent="0.25">
      <c r="A9" s="18" t="s">
        <v>10</v>
      </c>
      <c r="B9" s="18">
        <v>10000</v>
      </c>
    </row>
    <row r="11" spans="1:5" x14ac:dyDescent="0.25">
      <c r="A11" s="15" t="s">
        <v>39</v>
      </c>
      <c r="D11" s="18" t="s">
        <v>33</v>
      </c>
      <c r="E11" s="18" t="s">
        <v>13</v>
      </c>
    </row>
    <row r="12" spans="1:5" x14ac:dyDescent="0.25">
      <c r="A12" s="15" t="s">
        <v>40</v>
      </c>
      <c r="B12">
        <v>10000</v>
      </c>
      <c r="D12" s="20">
        <v>46023</v>
      </c>
      <c r="E12" s="18">
        <v>5000</v>
      </c>
    </row>
    <row r="13" spans="1:5" x14ac:dyDescent="0.25">
      <c r="A13" s="15" t="s">
        <v>41</v>
      </c>
      <c r="B13">
        <f>B3</f>
        <v>200</v>
      </c>
      <c r="D13" s="20">
        <v>46024</v>
      </c>
      <c r="E13" s="18">
        <v>6000</v>
      </c>
    </row>
    <row r="14" spans="1:5" s="16" customFormat="1" x14ac:dyDescent="0.25">
      <c r="A14" s="15" t="s">
        <v>42</v>
      </c>
      <c r="B14" s="16">
        <f>B5</f>
        <v>50</v>
      </c>
      <c r="D14" s="21">
        <v>46025</v>
      </c>
      <c r="E14" s="22">
        <v>5500</v>
      </c>
    </row>
    <row r="15" spans="1:5" x14ac:dyDescent="0.25">
      <c r="D15" s="20">
        <v>46026</v>
      </c>
      <c r="E15" s="18">
        <v>7000</v>
      </c>
    </row>
    <row r="16" spans="1:5" x14ac:dyDescent="0.25">
      <c r="A16" s="15" t="s">
        <v>43</v>
      </c>
      <c r="D16" s="20">
        <v>46027</v>
      </c>
      <c r="E16" s="18">
        <v>7500</v>
      </c>
    </row>
    <row r="17" spans="1:5" x14ac:dyDescent="0.25">
      <c r="A17" s="23" t="s">
        <v>44</v>
      </c>
      <c r="D17" s="20">
        <v>46028</v>
      </c>
      <c r="E17" s="18">
        <v>8000</v>
      </c>
    </row>
    <row r="18" spans="1:5" x14ac:dyDescent="0.25">
      <c r="A18" s="23"/>
    </row>
    <row r="19" spans="1:5" x14ac:dyDescent="0.25">
      <c r="A19" s="23"/>
    </row>
    <row r="20" spans="1:5" x14ac:dyDescent="0.25">
      <c r="A20" s="23"/>
    </row>
    <row r="21" spans="1:5" x14ac:dyDescent="0.25">
      <c r="A21" s="23"/>
    </row>
    <row r="22" spans="1:5" x14ac:dyDescent="0.25">
      <c r="A22" s="23"/>
    </row>
    <row r="23" spans="1:5" x14ac:dyDescent="0.25">
      <c r="A23" s="23"/>
    </row>
    <row r="24" spans="1:5" x14ac:dyDescent="0.25">
      <c r="A24" s="23"/>
    </row>
    <row r="25" spans="1:5" x14ac:dyDescent="0.25">
      <c r="A25" s="23"/>
    </row>
    <row r="26" spans="1:5" x14ac:dyDescent="0.25">
      <c r="A26" s="23"/>
    </row>
  </sheetData>
  <scenarios current="0" sqref="E4 E5 E6 E7 E8">
    <scenario name="low sales" locked="1" count="2" user="Mohammed Aftab" comment="Created by Mohammed Aftab on 21-10-2026">
      <inputCells r="B3" val="80"/>
      <inputCells r="B5" val="30"/>
    </scenario>
    <scenario name="normal sales" locked="1" count="2" user="Mohammed Aftab" comment="Created by zunaira on 21-10-2026">
      <inputCells r="B3" val="100"/>
      <inputCells r="B5" val="50"/>
    </scenario>
    <scenario name="high sales" locked="1" count="2" user="Mohammed Aftab" comment="Created by zunaira on 21-10-2026">
      <inputCells r="B3" val="150"/>
      <inputCells r="B5" val="80"/>
    </scenario>
  </scenarios>
  <mergeCells count="1">
    <mergeCell ref="A17:A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Scenario Summary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zabiulla</dc:creator>
  <cp:lastModifiedBy>syed zabiulla</cp:lastModifiedBy>
  <dcterms:created xsi:type="dcterms:W3CDTF">2026-10-21T07:08:11Z</dcterms:created>
  <dcterms:modified xsi:type="dcterms:W3CDTF">2026-10-21T10:02:19Z</dcterms:modified>
</cp:coreProperties>
</file>