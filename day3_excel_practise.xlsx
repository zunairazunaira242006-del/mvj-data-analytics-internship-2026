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NAIRA\Documents\"/>
    </mc:Choice>
  </mc:AlternateContent>
  <xr:revisionPtr revIDLastSave="0" documentId="13_ncr:1_{545D1FFF-AB51-4775-A99B-6CC37B42C38D}" xr6:coauthVersionLast="47" xr6:coauthVersionMax="47" xr10:uidLastSave="{00000000-0000-0000-0000-000000000000}"/>
  <bookViews>
    <workbookView xWindow="-120" yWindow="-120" windowWidth="24240" windowHeight="13020" activeTab="1" xr2:uid="{0B42CB26-DCA2-41DE-B6F4-906051939585}"/>
  </bookViews>
  <sheets>
    <sheet name="data cleaning" sheetId="1" r:id="rId1"/>
    <sheet name="KPI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2" l="1"/>
  <c r="I15" i="2"/>
  <c r="I14" i="2"/>
  <c r="I13" i="2"/>
  <c r="I12" i="2"/>
  <c r="I11" i="2"/>
  <c r="I8" i="2"/>
  <c r="I7" i="2"/>
  <c r="I6" i="2"/>
  <c r="I5" i="2"/>
  <c r="I4" i="2"/>
  <c r="I3" i="2"/>
  <c r="I2" i="2"/>
  <c r="F3" i="2"/>
  <c r="F4" i="2"/>
  <c r="F5" i="2"/>
  <c r="F6" i="2"/>
  <c r="F7" i="2"/>
  <c r="F2" i="2"/>
  <c r="H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<sst xmlns="http://schemas.openxmlformats.org/spreadsheetml/2006/main" count="55" uniqueCount="44">
  <si>
    <t>Employee ID</t>
  </si>
  <si>
    <t>E101</t>
  </si>
  <si>
    <t>E102</t>
  </si>
  <si>
    <t>E103</t>
  </si>
  <si>
    <t>E104</t>
  </si>
  <si>
    <t>E105</t>
  </si>
  <si>
    <t>Ananya</t>
  </si>
  <si>
    <t>Department</t>
  </si>
  <si>
    <t>Sales</t>
  </si>
  <si>
    <t>IT</t>
  </si>
  <si>
    <t>HR</t>
  </si>
  <si>
    <t>Finance</t>
  </si>
  <si>
    <t>Employee NAME</t>
  </si>
  <si>
    <t>Cleaned Name.</t>
  </si>
  <si>
    <t xml:space="preserve">            Rahul</t>
  </si>
  <si>
    <t xml:space="preserve">                Priya</t>
  </si>
  <si>
    <t xml:space="preserve">                                    Arjun</t>
  </si>
  <si>
    <t xml:space="preserve">               Sneha</t>
  </si>
  <si>
    <t>Advanced clean</t>
  </si>
  <si>
    <t>Search Employee ID</t>
  </si>
  <si>
    <t>Department Result</t>
  </si>
  <si>
    <t>DATE</t>
  </si>
  <si>
    <t>Product</t>
  </si>
  <si>
    <t>Latte</t>
  </si>
  <si>
    <t>Cappuccino</t>
  </si>
  <si>
    <t>Tea</t>
  </si>
  <si>
    <t>Category</t>
  </si>
  <si>
    <t>Coffee</t>
  </si>
  <si>
    <t>Quantity</t>
  </si>
  <si>
    <t>Unit Price</t>
  </si>
  <si>
    <t>Revenue.</t>
  </si>
  <si>
    <t>KPI</t>
  </si>
  <si>
    <t>VALUE</t>
  </si>
  <si>
    <t>TOTAL REVENUE</t>
  </si>
  <si>
    <t>TEA REVENUE</t>
  </si>
  <si>
    <t>Total Sales Revenue</t>
  </si>
  <si>
    <r>
      <t>Coffee Sales Count</t>
    </r>
    <r>
      <rPr>
        <sz val="11"/>
        <color theme="1"/>
        <rFont val="Calibri"/>
        <family val="2"/>
        <scheme val="minor"/>
      </rPr>
      <t>.</t>
    </r>
  </si>
  <si>
    <t>Tea Sales Count</t>
  </si>
  <si>
    <t>Average Sale Value</t>
  </si>
  <si>
    <t>Coffee Revenue %</t>
  </si>
  <si>
    <t>MoM Growth (Feb 2025)</t>
  </si>
  <si>
    <r>
      <t>YoY Growth (Jan)</t>
    </r>
    <r>
      <rPr>
        <sz val="11"/>
        <color theme="1"/>
        <rFont val="Calibri"/>
        <family val="2"/>
        <scheme val="minor"/>
      </rPr>
      <t>.</t>
    </r>
  </si>
  <si>
    <t>Month.</t>
  </si>
  <si>
    <r>
      <rPr>
        <b/>
        <sz val="14"/>
        <color theme="1"/>
        <rFont val="Arial Unicode MS"/>
      </rPr>
      <t>SALES KPI ANALYSIS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</si>
</sst>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Alignment="1">
      <alignment horizontal="left"/>
    </xf>
    <xf numFmtId="0" fontId="2" fillId="2" borderId="1" xfId="3" applyBorder="1"/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left"/>
    </xf>
    <xf numFmtId="0" fontId="3" fillId="3" borderId="1" xfId="4" applyBorder="1"/>
    <xf numFmtId="44" fontId="0" fillId="0" borderId="1" xfId="1" applyFont="1" applyBorder="1"/>
    <xf numFmtId="0" fontId="4" fillId="0" borderId="1" xfId="0" applyFont="1" applyBorder="1"/>
    <xf numFmtId="9" fontId="0" fillId="0" borderId="1" xfId="2" applyFont="1" applyBorder="1"/>
    <xf numFmtId="17" fontId="0" fillId="0" borderId="1" xfId="0" applyNumberFormat="1" applyBorder="1" applyAlignment="1">
      <alignment horizontal="left"/>
    </xf>
    <xf numFmtId="0" fontId="4" fillId="0" borderId="0" xfId="0" applyFont="1" applyAlignment="1">
      <alignment horizontal="center"/>
    </xf>
  </cellXfs>
  <cellStyles count="5">
    <cellStyle name="Currency" xfId="1" builtinId="4"/>
    <cellStyle name="Good" xfId="3" builtinId="26"/>
    <cellStyle name="Neutral" xfId="4" builtinId="2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6D19-C272-435D-AC23-F983CF07A400}">
  <dimension ref="A1:H6"/>
  <sheetViews>
    <sheetView workbookViewId="0">
      <selection activeCell="H3" sqref="H3"/>
    </sheetView>
  </sheetViews>
  <sheetFormatPr defaultRowHeight="15"/>
  <cols>
    <col min="1" max="1" width="27.85546875" customWidth="1"/>
    <col min="2" max="2" width="23.140625" customWidth="1"/>
    <col min="3" max="3" width="22.140625" customWidth="1"/>
    <col min="4" max="4" width="22.5703125" customWidth="1"/>
    <col min="5" max="5" width="24" customWidth="1"/>
    <col min="7" max="7" width="21.140625" customWidth="1"/>
    <col min="8" max="8" width="20.7109375" customWidth="1"/>
  </cols>
  <sheetData>
    <row r="1" spans="1:8">
      <c r="A1" s="4" t="s">
        <v>0</v>
      </c>
      <c r="B1" t="s">
        <v>12</v>
      </c>
      <c r="C1" t="s">
        <v>7</v>
      </c>
      <c r="D1" s="4" t="s">
        <v>13</v>
      </c>
      <c r="E1" s="1" t="s">
        <v>18</v>
      </c>
      <c r="F1" s="1"/>
      <c r="G1" t="s">
        <v>19</v>
      </c>
      <c r="H1" t="s">
        <v>20</v>
      </c>
    </row>
    <row r="2" spans="1:8">
      <c r="A2" s="2" t="s">
        <v>1</v>
      </c>
      <c r="B2" s="2" t="s">
        <v>6</v>
      </c>
      <c r="C2" s="4" t="s">
        <v>8</v>
      </c>
      <c r="D2" t="str">
        <f>TRIM(B2)</f>
        <v>Ananya</v>
      </c>
      <c r="E2" t="str">
        <f>TRIM(SUBSTITUTE(B2,CHAR(160)," "))</f>
        <v>Ananya</v>
      </c>
      <c r="F2" s="1"/>
      <c r="G2" t="s">
        <v>5</v>
      </c>
      <c r="H2" s="2" t="str">
        <f>_xlfn.XLOOKUP(G2,A2:A6,C2:C6,"Not found")</f>
        <v>IT</v>
      </c>
    </row>
    <row r="3" spans="1:8">
      <c r="A3" s="2" t="s">
        <v>2</v>
      </c>
      <c r="B3" t="s">
        <v>14</v>
      </c>
      <c r="C3" s="4" t="s">
        <v>9</v>
      </c>
      <c r="D3" t="str">
        <f t="shared" ref="D3:D6" si="0">TRIM(B3)</f>
        <v>Rahul</v>
      </c>
      <c r="E3" t="str">
        <f t="shared" ref="E3:E6" si="1">TRIM(SUBSTITUTE(B3,CHAR(160)," "))</f>
        <v>Rahul</v>
      </c>
      <c r="F3" s="1"/>
      <c r="G3" s="2"/>
      <c r="H3" s="2"/>
    </row>
    <row r="4" spans="1:8">
      <c r="A4" s="2" t="s">
        <v>3</v>
      </c>
      <c r="B4" s="2" t="s">
        <v>15</v>
      </c>
      <c r="C4" t="s">
        <v>10</v>
      </c>
      <c r="D4" t="str">
        <f t="shared" si="0"/>
        <v>Priya</v>
      </c>
      <c r="E4" t="str">
        <f t="shared" si="1"/>
        <v>Priya</v>
      </c>
      <c r="F4" s="1"/>
      <c r="G4" s="2"/>
      <c r="H4" s="2"/>
    </row>
    <row r="5" spans="1:8">
      <c r="A5" s="3" t="s">
        <v>4</v>
      </c>
      <c r="B5" s="3" t="s">
        <v>16</v>
      </c>
      <c r="C5" s="4" t="s">
        <v>11</v>
      </c>
      <c r="D5" t="str">
        <f t="shared" si="0"/>
        <v>Arjun</v>
      </c>
      <c r="E5" t="str">
        <f t="shared" si="1"/>
        <v>Arjun</v>
      </c>
      <c r="F5" s="1"/>
      <c r="G5" s="2"/>
      <c r="H5" s="2"/>
    </row>
    <row r="6" spans="1:8">
      <c r="A6" s="3" t="s">
        <v>5</v>
      </c>
      <c r="B6" s="3" t="s">
        <v>17</v>
      </c>
      <c r="C6" t="s">
        <v>9</v>
      </c>
      <c r="D6" t="str">
        <f t="shared" si="0"/>
        <v>Sneha</v>
      </c>
      <c r="E6" t="str">
        <f t="shared" si="1"/>
        <v>Sneha</v>
      </c>
      <c r="F6" s="1"/>
      <c r="G6" s="2"/>
      <c r="H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3DBA-0EBA-4657-ADF4-65DB130D8D16}">
  <dimension ref="A1:I19"/>
  <sheetViews>
    <sheetView tabSelected="1" workbookViewId="0">
      <selection activeCell="B16" sqref="B16"/>
    </sheetView>
  </sheetViews>
  <sheetFormatPr defaultRowHeight="15"/>
  <cols>
    <col min="1" max="2" width="22" customWidth="1"/>
    <col min="3" max="3" width="20.28515625" customWidth="1"/>
    <col min="4" max="4" width="21.140625" customWidth="1"/>
    <col min="5" max="5" width="24" customWidth="1"/>
    <col min="6" max="6" width="22" customWidth="1"/>
    <col min="7" max="7" width="5.5703125" customWidth="1"/>
    <col min="8" max="8" width="21.85546875" customWidth="1"/>
    <col min="9" max="9" width="15.42578125" customWidth="1"/>
  </cols>
  <sheetData>
    <row r="1" spans="1:9">
      <c r="A1" s="5" t="s">
        <v>21</v>
      </c>
      <c r="B1" s="5" t="s">
        <v>22</v>
      </c>
      <c r="C1" s="5" t="s">
        <v>26</v>
      </c>
      <c r="D1" s="5" t="s">
        <v>28</v>
      </c>
      <c r="E1" s="5" t="s">
        <v>29</v>
      </c>
      <c r="F1" s="5" t="s">
        <v>30</v>
      </c>
      <c r="H1" s="10" t="s">
        <v>31</v>
      </c>
      <c r="I1" s="10" t="s">
        <v>32</v>
      </c>
    </row>
    <row r="2" spans="1:9">
      <c r="A2" s="6">
        <v>45662</v>
      </c>
      <c r="B2" s="7" t="s">
        <v>23</v>
      </c>
      <c r="C2" s="7" t="s">
        <v>27</v>
      </c>
      <c r="D2" s="8">
        <v>10</v>
      </c>
      <c r="E2" s="8">
        <v>150</v>
      </c>
      <c r="F2" s="9">
        <f>D2*E2</f>
        <v>1500</v>
      </c>
      <c r="H2" s="7" t="s">
        <v>33</v>
      </c>
      <c r="I2" s="11">
        <f>SUMIFS(F2:F7,C2:C7,"Coffee")</f>
        <v>6840</v>
      </c>
    </row>
    <row r="3" spans="1:9">
      <c r="A3" s="6">
        <v>45669</v>
      </c>
      <c r="B3" s="7" t="s">
        <v>24</v>
      </c>
      <c r="C3" s="7" t="s">
        <v>27</v>
      </c>
      <c r="D3" s="8">
        <v>8</v>
      </c>
      <c r="E3" s="8">
        <v>180</v>
      </c>
      <c r="F3" s="9">
        <f t="shared" ref="F3:F7" si="0">D3*E3</f>
        <v>1440</v>
      </c>
      <c r="H3" s="7" t="s">
        <v>34</v>
      </c>
      <c r="I3" s="11">
        <f>SUMIFS(F2:F7,C2:C7,"Tea")</f>
        <v>3500</v>
      </c>
    </row>
    <row r="4" spans="1:9">
      <c r="A4" s="6">
        <v>45691</v>
      </c>
      <c r="B4" s="7" t="s">
        <v>23</v>
      </c>
      <c r="C4" s="7" t="s">
        <v>27</v>
      </c>
      <c r="D4" s="8">
        <v>12</v>
      </c>
      <c r="E4" s="8">
        <v>150</v>
      </c>
      <c r="F4" s="9">
        <f t="shared" si="0"/>
        <v>1800</v>
      </c>
      <c r="H4" s="7" t="s">
        <v>35</v>
      </c>
      <c r="I4" s="11">
        <f>SUM(F2:F7)</f>
        <v>10340</v>
      </c>
    </row>
    <row r="5" spans="1:9">
      <c r="A5" s="6">
        <v>45702</v>
      </c>
      <c r="B5" s="7" t="s">
        <v>25</v>
      </c>
      <c r="C5" s="7" t="s">
        <v>25</v>
      </c>
      <c r="D5" s="8">
        <v>15</v>
      </c>
      <c r="E5" s="8">
        <v>100</v>
      </c>
      <c r="F5" s="9">
        <f t="shared" si="0"/>
        <v>1500</v>
      </c>
      <c r="H5" s="12" t="s">
        <v>36</v>
      </c>
      <c r="I5" s="11">
        <f>COUNTIFS(C2:C7,"Coffee")</f>
        <v>4</v>
      </c>
    </row>
    <row r="6" spans="1:9">
      <c r="A6" s="6">
        <v>46030</v>
      </c>
      <c r="B6" s="7" t="s">
        <v>23</v>
      </c>
      <c r="C6" s="7" t="s">
        <v>27</v>
      </c>
      <c r="D6" s="8">
        <v>14</v>
      </c>
      <c r="E6" s="8">
        <v>150</v>
      </c>
      <c r="F6" s="9">
        <f t="shared" si="0"/>
        <v>2100</v>
      </c>
      <c r="H6" s="7" t="s">
        <v>37</v>
      </c>
      <c r="I6" s="11">
        <f>COUNTIFS(C2:C7,"TEA")</f>
        <v>2</v>
      </c>
    </row>
    <row r="7" spans="1:9">
      <c r="A7" s="6">
        <v>46063</v>
      </c>
      <c r="B7" s="7" t="s">
        <v>25</v>
      </c>
      <c r="C7" s="7" t="s">
        <v>25</v>
      </c>
      <c r="D7" s="8">
        <v>20</v>
      </c>
      <c r="E7" s="8">
        <v>100</v>
      </c>
      <c r="F7" s="9">
        <f t="shared" si="0"/>
        <v>2000</v>
      </c>
      <c r="H7" s="7" t="s">
        <v>38</v>
      </c>
      <c r="I7" s="11">
        <f>AVERAGE(F2:F7)</f>
        <v>1723.3333333333333</v>
      </c>
    </row>
    <row r="8" spans="1:9">
      <c r="H8" s="7" t="s">
        <v>39</v>
      </c>
      <c r="I8" s="13">
        <f>I2/I4</f>
        <v>0.66150870406189555</v>
      </c>
    </row>
    <row r="9" spans="1:9" ht="18">
      <c r="A9" s="15" t="s">
        <v>43</v>
      </c>
      <c r="B9" s="15"/>
      <c r="C9" s="15"/>
      <c r="D9" s="15"/>
      <c r="E9" s="15"/>
      <c r="F9" s="15"/>
    </row>
    <row r="10" spans="1:9">
      <c r="H10" s="10" t="s">
        <v>42</v>
      </c>
      <c r="I10" s="10" t="s">
        <v>42</v>
      </c>
    </row>
    <row r="11" spans="1:9">
      <c r="H11" s="14">
        <v>45658</v>
      </c>
      <c r="I11" s="11">
        <f>SUMIFS(F2:F7,A2:A7,"&gt;=2025-01-01",A2:A7,"&lt;=2025-01-31")</f>
        <v>2940</v>
      </c>
    </row>
    <row r="12" spans="1:9">
      <c r="H12" s="14">
        <v>45689</v>
      </c>
      <c r="I12" s="11">
        <f>SUMIFS(F2:F7,A2:A7,"&gt;=2025-02-01",A2:A7,"&lt;=2025-02-28")</f>
        <v>3300</v>
      </c>
    </row>
    <row r="13" spans="1:9">
      <c r="H13" s="14">
        <v>46023</v>
      </c>
      <c r="I13" s="11">
        <f>SUMIFS(F2:F7,A2:A7,"&gt;=2026-01-01",A2:A7,"&lt;=2026-01-31")</f>
        <v>2100</v>
      </c>
    </row>
    <row r="14" spans="1:9">
      <c r="H14" s="14">
        <v>46054</v>
      </c>
      <c r="I14" s="11">
        <f>SUMIFS(F2:F7,A2:A7,"&gt;=2026-02-01",A2:A7,"&lt;=2026-02-28")</f>
        <v>2000</v>
      </c>
    </row>
    <row r="15" spans="1:9">
      <c r="H15" s="7" t="s">
        <v>40</v>
      </c>
      <c r="I15" s="7">
        <f>(I12-I11)/I11</f>
        <v>0.12244897959183673</v>
      </c>
    </row>
    <row r="16" spans="1:9">
      <c r="H16" s="12" t="s">
        <v>41</v>
      </c>
      <c r="I16" s="13">
        <f>(I13-I11)/I11</f>
        <v>-0.2857142857142857</v>
      </c>
    </row>
    <row r="19" spans="6:6">
      <c r="F19" s="4"/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</vt:lpstr>
      <vt:lpstr>KPI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zabiulla</dc:creator>
  <cp:lastModifiedBy>syed zabiulla</cp:lastModifiedBy>
  <dcterms:created xsi:type="dcterms:W3CDTF">2026-10-19T13:27:01Z</dcterms:created>
  <dcterms:modified xsi:type="dcterms:W3CDTF">2026-10-19T15:39:07Z</dcterms:modified>
</cp:coreProperties>
</file>